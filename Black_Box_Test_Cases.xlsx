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ack Box Test Cases" sheetId="1" state="visible" r:id="rId3"/>
    <sheet name="Summary" sheetId="2" state="visible" r:id="rId4"/>
  </sheets>
  <definedNames>
    <definedName function="false" hidden="true" localSheetId="0" name="_xlnm._FilterDatabase" vbProcedure="false">'Black Box Test Cases'!$A$1:$H$49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<sst xmlns="http://schemas.openxmlformats.org/spreadsheetml/2006/main" count="411" uniqueCount="269">
  <si>
    <t xml:space="preserve">Test Case ID</t>
  </si>
  <si>
    <t xml:space="preserve">Module</t>
  </si>
  <si>
    <t xml:space="preserve">Test Scenario</t>
  </si>
  <si>
    <t xml:space="preserve">Precondition</t>
  </si>
  <si>
    <t xml:space="preserve">Input</t>
  </si>
  <si>
    <t xml:space="preserve">Expected Output</t>
  </si>
  <si>
    <t xml:space="preserve">Actual Output</t>
  </si>
  <si>
    <t xml:space="preserve">Status (Pass/Fail)</t>
  </si>
  <si>
    <t xml:space="preserve">BB-01</t>
  </si>
  <si>
    <t xml:space="preserve">Login</t>
  </si>
  <si>
    <t xml:space="preserve">Login with valid credentials</t>
  </si>
  <si>
    <t xml:space="preserve">Admin 'admin' exists</t>
  </si>
  <si>
    <t xml:space="preserve">username=admin, password=secret1</t>
  </si>
  <si>
    <t xml:space="preserve">Login successful. Role: Admin</t>
  </si>
  <si>
    <t xml:space="preserve">Pass</t>
  </si>
  <si>
    <t xml:space="preserve">BB-02</t>
  </si>
  <si>
    <t xml:space="preserve">Login with wrong password</t>
  </si>
  <si>
    <t xml:space="preserve">username=admin, password=wrong</t>
  </si>
  <si>
    <t xml:space="preserve">Invalid username or password.</t>
  </si>
  <si>
    <t xml:space="preserve">Invalid username or password. | Invalid username or password. | Invalid username or password. | Too many failed attempts.</t>
  </si>
  <si>
    <t xml:space="preserve">BB-03</t>
  </si>
  <si>
    <t xml:space="preserve">Login with unknown username</t>
  </si>
  <si>
    <t xml:space="preserve">No such user</t>
  </si>
  <si>
    <t xml:space="preserve">username=ghost, password=secret1</t>
  </si>
  <si>
    <t xml:space="preserve">BB-04</t>
  </si>
  <si>
    <t xml:space="preserve">Three failed login attempts</t>
  </si>
  <si>
    <t xml:space="preserve">Admin exists</t>
  </si>
  <si>
    <t xml:space="preserve">3 wrong passwords</t>
  </si>
  <si>
    <t xml:space="preserve">Too many failed attempts.</t>
  </si>
  <si>
    <t xml:space="preserve">BB-05</t>
  </si>
  <si>
    <t xml:space="preserve">First run creates first Admin</t>
  </si>
  <si>
    <t xml:space="preserve">No users in database</t>
  </si>
  <si>
    <t xml:space="preserve">User created.</t>
  </si>
  <si>
    <t xml:space="preserve">No users found. Create the first Admin account. | User created.</t>
  </si>
  <si>
    <t xml:space="preserve">BB-06</t>
  </si>
  <si>
    <t xml:space="preserve">Register with password shorter than 6 characters</t>
  </si>
  <si>
    <t xml:space="preserve">Admin logged in, User Management open</t>
  </si>
  <si>
    <t xml:space="preserve">username=nurse, password=123, role=Receptionist</t>
  </si>
  <si>
    <t xml:space="preserve">Password must be at least 6 characters.</t>
  </si>
  <si>
    <t xml:space="preserve">BB-07</t>
  </si>
  <si>
    <t xml:space="preserve">Register duplicate username</t>
  </si>
  <si>
    <t xml:space="preserve">User 'admin' exists</t>
  </si>
  <si>
    <t xml:space="preserve">username=admin, password=secret1, role=Doctor</t>
  </si>
  <si>
    <t xml:space="preserve">Username already exists.</t>
  </si>
  <si>
    <t xml:space="preserve">BB-08</t>
  </si>
  <si>
    <t xml:space="preserve">Register with invalid role</t>
  </si>
  <si>
    <t xml:space="preserve">Admin logged in</t>
  </si>
  <si>
    <t xml:space="preserve">username=x, password=secret1, role=Janitor</t>
  </si>
  <si>
    <t xml:space="preserve">Role must be one of: Admin, Doctor, Receptionist</t>
  </si>
  <si>
    <t xml:space="preserve">BB-09</t>
  </si>
  <si>
    <t xml:space="preserve">Delete the only Admin</t>
  </si>
  <si>
    <t xml:space="preserve">One Admin exists</t>
  </si>
  <si>
    <t xml:space="preserve">Delete user ID 1</t>
  </si>
  <si>
    <t xml:space="preserve">Cannot delete the last Admin.</t>
  </si>
  <si>
    <t xml:space="preserve">BB-10</t>
  </si>
  <si>
    <t xml:space="preserve">Roles</t>
  </si>
  <si>
    <t xml:space="preserve">Doctor sees only Appointment module</t>
  </si>
  <si>
    <t xml:space="preserve">Logged in as Doctor</t>
  </si>
  <si>
    <t xml:space="preserve">Open main menu</t>
  </si>
  <si>
    <t xml:space="preserve">Only 'Doctor &amp; Appointment Module' and Logout are shown; Billing and Patient are hidden</t>
  </si>
  <si>
    <t xml:space="preserve">User: dr  |  Role: Doctor | 1. Doctor &amp; Appointment Module | 2. Logout | Logged out.</t>
  </si>
  <si>
    <t xml:space="preserve">BB-11</t>
  </si>
  <si>
    <t xml:space="preserve">Receptionist sees Patient and Billing modules</t>
  </si>
  <si>
    <t xml:space="preserve">Logged in as Receptionist</t>
  </si>
  <si>
    <t xml:space="preserve">Patient Module and Billing Module shown; Appointment hidden</t>
  </si>
  <si>
    <t xml:space="preserve">User: rec  |  Role: Receptionist | 1. Patient Module | 2. Billing Module | 3. Logout | Logged out.</t>
  </si>
  <si>
    <t xml:space="preserve">BB-12</t>
  </si>
  <si>
    <t xml:space="preserve">Admin sees all modules including User Management</t>
  </si>
  <si>
    <t xml:space="preserve">Logged in as Admin</t>
  </si>
  <si>
    <t xml:space="preserve">Patient, Appointment, Billing and User Management shown</t>
  </si>
  <si>
    <t xml:space="preserve">User: a  |  Role: Admin | 1. Patient Module | 2. Doctor &amp; Appointment Module | 3. Billing Module | 4. User Management | 5. Logout | Logged out.</t>
  </si>
  <si>
    <t xml:space="preserve">BB-13</t>
  </si>
  <si>
    <t xml:space="preserve">Logout from main menu</t>
  </si>
  <si>
    <t xml:space="preserve">Logged in</t>
  </si>
  <si>
    <t xml:space="preserve">Choose Logout</t>
  </si>
  <si>
    <t xml:space="preserve">Logged out.</t>
  </si>
  <si>
    <t xml:space="preserve">BB-14</t>
  </si>
  <si>
    <t xml:space="preserve">Patient</t>
  </si>
  <si>
    <t xml:space="preserve">Register patient with valid data</t>
  </si>
  <si>
    <t xml:space="preserve">Patient Module open</t>
  </si>
  <si>
    <t xml:space="preserve">Name=Rahul Sharma, Age=30, Gender=Male, Contact=9876543210, Address=Nagpur, History=None</t>
  </si>
  <si>
    <t xml:space="preserve">Patient registered. ID = 1</t>
  </si>
  <si>
    <t xml:space="preserve">Patient registered. ID = 1 | Goodbye.</t>
  </si>
  <si>
    <t xml:space="preserve">BB-15</t>
  </si>
  <si>
    <t xml:space="preserve">Register patient with non-numeric age</t>
  </si>
  <si>
    <t xml:space="preserve">Age=abc, then 25</t>
  </si>
  <si>
    <t xml:space="preserve">Please enter a number.</t>
  </si>
  <si>
    <t xml:space="preserve">Please enter a number. | Patient registered. ID = 1 | Goodbye.</t>
  </si>
  <si>
    <t xml:space="preserve">BB-16</t>
  </si>
  <si>
    <t xml:space="preserve">Register patient with empty name</t>
  </si>
  <si>
    <t xml:space="preserve">Name=(empty), Age=20, Gender=(empty), Contact=(empty)</t>
  </si>
  <si>
    <t xml:space="preserve">Name, gender and contact are required.</t>
  </si>
  <si>
    <t xml:space="preserve">Name, gender and contact are required. | Goodbye.</t>
  </si>
  <si>
    <t xml:space="preserve">BB-17</t>
  </si>
  <si>
    <t xml:space="preserve">View all patients</t>
  </si>
  <si>
    <t xml:space="preserve">One patient registered</t>
  </si>
  <si>
    <t xml:space="preserve">Option 2</t>
  </si>
  <si>
    <t xml:space="preserve">Table shows Rahul Sharma</t>
  </si>
  <si>
    <t xml:space="preserve">ID    Name                 Age   Gender   Contact        Address              Medical History | 1     Rahul Sharma         30    Male     9876543210     Nagpur               None | Goodbye.</t>
  </si>
  <si>
    <t xml:space="preserve">BB-18</t>
  </si>
  <si>
    <t xml:space="preserve">View patients when none exist</t>
  </si>
  <si>
    <t xml:space="preserve">No patients</t>
  </si>
  <si>
    <t xml:space="preserve">No patient found.</t>
  </si>
  <si>
    <t xml:space="preserve">No patient found. | Goodbye.</t>
  </si>
  <si>
    <t xml:space="preserve">BB-19</t>
  </si>
  <si>
    <t xml:space="preserve">Search patient by name</t>
  </si>
  <si>
    <t xml:space="preserve">Rahul Sharma registered</t>
  </si>
  <si>
    <t xml:space="preserve">Keyword=rahul</t>
  </si>
  <si>
    <t xml:space="preserve">Rahul Sharma shown</t>
  </si>
  <si>
    <t xml:space="preserve">BB-20</t>
  </si>
  <si>
    <t xml:space="preserve">Search patient by ID</t>
  </si>
  <si>
    <t xml:space="preserve">Rahul Sharma registered with ID 1</t>
  </si>
  <si>
    <t xml:space="preserve">Keyword=1</t>
  </si>
  <si>
    <t xml:space="preserve">BB-21</t>
  </si>
  <si>
    <t xml:space="preserve">Search patient that does not exist</t>
  </si>
  <si>
    <t xml:space="preserve">Keyword=xyz</t>
  </si>
  <si>
    <t xml:space="preserve">BB-22</t>
  </si>
  <si>
    <t xml:space="preserve">Edit patient age</t>
  </si>
  <si>
    <t xml:space="preserve">ID=1, Age=31, other fields Enter</t>
  </si>
  <si>
    <t xml:space="preserve">Patient updated.</t>
  </si>
  <si>
    <t xml:space="preserve">Press Enter to keep the old value. | Patient updated. | Goodbye.</t>
  </si>
  <si>
    <t xml:space="preserve">BB-23</t>
  </si>
  <si>
    <t xml:space="preserve">Edit patient that does not exist</t>
  </si>
  <si>
    <t xml:space="preserve">No patient with ID 99</t>
  </si>
  <si>
    <t xml:space="preserve">ID=99</t>
  </si>
  <si>
    <t xml:space="preserve">Patient not found.</t>
  </si>
  <si>
    <t xml:space="preserve">Patient not found. | Goodbye.</t>
  </si>
  <si>
    <t xml:space="preserve">BB-24</t>
  </si>
  <si>
    <t xml:space="preserve">Delete patient and confirm</t>
  </si>
  <si>
    <t xml:space="preserve">ID=1, confirm=y</t>
  </si>
  <si>
    <t xml:space="preserve">Patient deleted.</t>
  </si>
  <si>
    <t xml:space="preserve">Patient deleted. | Goodbye.</t>
  </si>
  <si>
    <t xml:space="preserve">BB-25</t>
  </si>
  <si>
    <t xml:space="preserve">Delete patient but cancel</t>
  </si>
  <si>
    <t xml:space="preserve">ID=1, confirm=n</t>
  </si>
  <si>
    <t xml:space="preserve">Cancelled.</t>
  </si>
  <si>
    <t xml:space="preserve">Cancelled. | Goodbye.</t>
  </si>
  <si>
    <t xml:space="preserve">BB-26</t>
  </si>
  <si>
    <t xml:space="preserve">Delete patient that does not exist</t>
  </si>
  <si>
    <t xml:space="preserve">ID=99, confirm=y</t>
  </si>
  <si>
    <t xml:space="preserve">BB-27</t>
  </si>
  <si>
    <t xml:space="preserve">Appointment</t>
  </si>
  <si>
    <t xml:space="preserve">Add doctor with valid data</t>
  </si>
  <si>
    <t xml:space="preserve">Appointment module open</t>
  </si>
  <si>
    <t xml:space="preserve">Name=Dr Mehta, Spec=Cardiology, Contact=9000000001, Availability=Mon-Fri</t>
  </si>
  <si>
    <t xml:space="preserve">Doctor added. ID = 1</t>
  </si>
  <si>
    <t xml:space="preserve">Doctor added. ID = 1 | Goodbye.</t>
  </si>
  <si>
    <t xml:space="preserve">BB-28</t>
  </si>
  <si>
    <t xml:space="preserve">Add doctor with missing fields</t>
  </si>
  <si>
    <t xml:space="preserve">Name, specialization, contact empty</t>
  </si>
  <si>
    <t xml:space="preserve">Name, specialization and contact are required.</t>
  </si>
  <si>
    <t xml:space="preserve">Name, specialization and contact are required. | Goodbye.</t>
  </si>
  <si>
    <t xml:space="preserve">BB-29</t>
  </si>
  <si>
    <t xml:space="preserve">Book appointment with valid data</t>
  </si>
  <si>
    <t xml:space="preserve">Patient 1 and Doctor 1 exist</t>
  </si>
  <si>
    <t xml:space="preserve">Patient=1, Doctor=1, Date=2026-10-30, Time=10:00</t>
  </si>
  <si>
    <t xml:space="preserve">Appointment booked. ID = 1</t>
  </si>
  <si>
    <t xml:space="preserve">Appointment booked. ID = 1 | Goodbye.</t>
  </si>
  <si>
    <t xml:space="preserve">BB-30</t>
  </si>
  <si>
    <t xml:space="preserve">Book appointment for unknown patient</t>
  </si>
  <si>
    <t xml:space="preserve">Doctor 1 exists, no patient</t>
  </si>
  <si>
    <t xml:space="preserve">Patient=99, Doctor=1</t>
  </si>
  <si>
    <t xml:space="preserve">Patient ID not found. Register the patient first.</t>
  </si>
  <si>
    <t xml:space="preserve">Patient ID not found. Register the patient first. | Goodbye.</t>
  </si>
  <si>
    <t xml:space="preserve">BB-31</t>
  </si>
  <si>
    <t xml:space="preserve">Book appointment with unknown doctor</t>
  </si>
  <si>
    <t xml:space="preserve">Patient 1 exists, no doctor</t>
  </si>
  <si>
    <t xml:space="preserve">Patient=1, Doctor=99</t>
  </si>
  <si>
    <t xml:space="preserve">Doctor ID not found.</t>
  </si>
  <si>
    <t xml:space="preserve">Doctor ID not found. | Goodbye.</t>
  </si>
  <si>
    <t xml:space="preserve">BB-32</t>
  </si>
  <si>
    <t xml:space="preserve">Double booking of same doctor, date and time</t>
  </si>
  <si>
    <t xml:space="preserve">Appointment at 2026-10-30 10:00 already booked</t>
  </si>
  <si>
    <t xml:space="preserve">Doctor is already booked at that date and time.</t>
  </si>
  <si>
    <t xml:space="preserve">Doctor is already booked at that date and time. | Goodbye.</t>
  </si>
  <si>
    <t xml:space="preserve">BB-33</t>
  </si>
  <si>
    <t xml:space="preserve">View appointments</t>
  </si>
  <si>
    <t xml:space="preserve">One appointment booked</t>
  </si>
  <si>
    <t xml:space="preserve">Option 5</t>
  </si>
  <si>
    <t xml:space="preserve">Table shows Rahul Sharma, Dr Mehta, Booked</t>
  </si>
  <si>
    <t xml:space="preserve">ID    Patient              Doctor               Date         Time    Status | 1     Rahul Sharma         Dr Mehta             2026-10-30   10:00   Booked | Goodbye.</t>
  </si>
  <si>
    <t xml:space="preserve">BB-34</t>
  </si>
  <si>
    <t xml:space="preserve">Cancel a booked appointment</t>
  </si>
  <si>
    <t xml:space="preserve">Appointment 1 booked</t>
  </si>
  <si>
    <t xml:space="preserve">Appointment ID=1</t>
  </si>
  <si>
    <t xml:space="preserve">Appointment cancelled.</t>
  </si>
  <si>
    <t xml:space="preserve">Appointment cancelled. | Goodbye.</t>
  </si>
  <si>
    <t xml:space="preserve">BB-35</t>
  </si>
  <si>
    <t xml:space="preserve">Cancel an already cancelled appointment</t>
  </si>
  <si>
    <t xml:space="preserve">Appointment 1 cancelled</t>
  </si>
  <si>
    <t xml:space="preserve">Not found or already cancelled.</t>
  </si>
  <si>
    <t xml:space="preserve">Not found or already cancelled. | Goodbye.</t>
  </si>
  <si>
    <t xml:space="preserve">BB-36</t>
  </si>
  <si>
    <t xml:space="preserve">Reschedule appointment to a free slot</t>
  </si>
  <si>
    <t xml:space="preserve">ID=1, New date=2026-10-31, New time=11:00</t>
  </si>
  <si>
    <t xml:space="preserve">Appointment rescheduled.</t>
  </si>
  <si>
    <t xml:space="preserve">Appointment rescheduled. | Goodbye.</t>
  </si>
  <si>
    <t xml:space="preserve">BB-37</t>
  </si>
  <si>
    <t xml:space="preserve">Reschedule appointment to a taken slot</t>
  </si>
  <si>
    <t xml:space="preserve">Appointments at 10:00 (ID 1) and 11:00 (ID 2)</t>
  </si>
  <si>
    <t xml:space="preserve">ID=1, New date=2026-10-30, New time=11:00</t>
  </si>
  <si>
    <t xml:space="preserve">BB-38</t>
  </si>
  <si>
    <t xml:space="preserve">Reschedule a cancelled appointment</t>
  </si>
  <si>
    <t xml:space="preserve">ID=1, New date=2026-11-01, New time=09:00</t>
  </si>
  <si>
    <t xml:space="preserve">Only booked appointments can be rescheduled.</t>
  </si>
  <si>
    <t xml:space="preserve">Only booked appointments can be rescheduled. | Goodbye.</t>
  </si>
  <si>
    <t xml:space="preserve">BB-39</t>
  </si>
  <si>
    <t xml:space="preserve">Billing</t>
  </si>
  <si>
    <t xml:space="preserve">Generate bill with valid charges</t>
  </si>
  <si>
    <t xml:space="preserve">Patient 1 exists</t>
  </si>
  <si>
    <t xml:space="preserve">Patient=1, Consultation=500, Medicine=300, Other=0</t>
  </si>
  <si>
    <t xml:space="preserve">Bill generated. Bill ID = 1, Total = 800.00</t>
  </si>
  <si>
    <t xml:space="preserve">Bill generated. Bill ID = 1, Total = 800.00 | Goodbye.</t>
  </si>
  <si>
    <t xml:space="preserve">BB-40</t>
  </si>
  <si>
    <t xml:space="preserve">Generate bill with negative charge</t>
  </si>
  <si>
    <t xml:space="preserve">Consultation=-5, Medicine=100, Other=0</t>
  </si>
  <si>
    <t xml:space="preserve">Charges cannot be negative.</t>
  </si>
  <si>
    <t xml:space="preserve">Charges cannot be negative. | Goodbye.</t>
  </si>
  <si>
    <t xml:space="preserve">BB-41</t>
  </si>
  <si>
    <t xml:space="preserve">Generate bill for unknown patient</t>
  </si>
  <si>
    <t xml:space="preserve">Patient=99, charges 100/100/0</t>
  </si>
  <si>
    <t xml:space="preserve">BB-42</t>
  </si>
  <si>
    <t xml:space="preserve">Generate bill with non-numeric amount</t>
  </si>
  <si>
    <t xml:space="preserve">Consultation=abc, then 500</t>
  </si>
  <si>
    <t xml:space="preserve">Please enter an amount (number).</t>
  </si>
  <si>
    <t xml:space="preserve">Please enter an amount (number). | Bill generated. Bill ID = 1, Total = 500.00 | Goodbye.</t>
  </si>
  <si>
    <t xml:space="preserve">BB-43</t>
  </si>
  <si>
    <t xml:space="preserve">View all bills</t>
  </si>
  <si>
    <t xml:space="preserve">One bill generated</t>
  </si>
  <si>
    <t xml:space="preserve">Table shows Rahul Sharma, 800.00, Pending</t>
  </si>
  <si>
    <t xml:space="preserve">Bill   Patient              Amount       Status     Date | 1      Rahul Sharma         800.00       Pending    2026-10-25 | Goodbye.</t>
  </si>
  <si>
    <t xml:space="preserve">BB-44</t>
  </si>
  <si>
    <t xml:space="preserve">View bills of one patient</t>
  </si>
  <si>
    <t xml:space="preserve">One bill for patient 1</t>
  </si>
  <si>
    <t xml:space="preserve">Patient ID=1</t>
  </si>
  <si>
    <t xml:space="preserve">Table shows 800.00 for Rahul Sharma</t>
  </si>
  <si>
    <t xml:space="preserve">BB-45</t>
  </si>
  <si>
    <t xml:space="preserve">Mark bill as Paid</t>
  </si>
  <si>
    <t xml:space="preserve">Bill 1 is Pending</t>
  </si>
  <si>
    <t xml:space="preserve">Bill ID=1, status=Paid</t>
  </si>
  <si>
    <t xml:space="preserve">Payment status updated to Paid</t>
  </si>
  <si>
    <t xml:space="preserve">Payment status updated to Paid | Goodbye.</t>
  </si>
  <si>
    <t xml:space="preserve">BB-46</t>
  </si>
  <si>
    <t xml:space="preserve">Update payment status with invalid value</t>
  </si>
  <si>
    <t xml:space="preserve">Bill 1 exists</t>
  </si>
  <si>
    <t xml:space="preserve">Bill ID=1, status=Maybe</t>
  </si>
  <si>
    <t xml:space="preserve">Bill not found or status invalid.</t>
  </si>
  <si>
    <t xml:space="preserve">Bill not found or status invalid. | Goodbye.</t>
  </si>
  <si>
    <t xml:space="preserve">BB-47</t>
  </si>
  <si>
    <t xml:space="preserve">Show totals of paid and pending bills</t>
  </si>
  <si>
    <t xml:space="preserve">Bill 1 (800) Paid</t>
  </si>
  <si>
    <t xml:space="preserve">Total paid: 800.00 | Total pending: 0.00</t>
  </si>
  <si>
    <t xml:space="preserve">Total paid: 800.00 | Total pending: 0.00 | Goodbye.</t>
  </si>
  <si>
    <t xml:space="preserve">BB-48</t>
  </si>
  <si>
    <t xml:space="preserve">General</t>
  </si>
  <si>
    <t xml:space="preserve">Invalid menu choice in Patient module</t>
  </si>
  <si>
    <t xml:space="preserve">Choice=9</t>
  </si>
  <si>
    <t xml:space="preserve">Invalid choice.</t>
  </si>
  <si>
    <t xml:space="preserve">Invalid choice. | Goodbye.</t>
  </si>
  <si>
    <t xml:space="preserve">Hospital Management System - Black-Box Test Summary</t>
  </si>
  <si>
    <t xml:space="preserve">Total test cases</t>
  </si>
  <si>
    <t xml:space="preserve">Passed</t>
  </si>
  <si>
    <t xml:space="preserve">Failed</t>
  </si>
  <si>
    <t xml:space="preserve">Pass percentage</t>
  </si>
  <si>
    <t xml:space="preserve">Test cases</t>
  </si>
  <si>
    <t xml:space="preserve">Notes</t>
  </si>
  <si>
    <t xml:space="preserve">Black-box method: each case gives inputs through the program menu and compares the printed output with the expected output, without looking at the code.</t>
  </si>
  <si>
    <t xml:space="preserve">Actual Output was recorded by running the program with the listed input. Re-run on your own machine and attach screenshots as evidence.</t>
  </si>
  <si>
    <t xml:space="preserve">Project: Hospital Management System (Python console + SQLite). Team: Atif Azmi, Mo Atif Azmi.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</si>
</sst>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38"/>
    <col collapsed="false" customWidth="true" hidden="false" outlineLevel="0" max="4" min="4" style="0" width="32"/>
    <col collapsed="false" customWidth="true" hidden="false" outlineLevel="0" max="6" min="5" style="0" width="40"/>
    <col collapsed="false" customWidth="true" hidden="false" outlineLevel="0" max="7" min="7" style="0" width="46"/>
    <col collapsed="false" customWidth="true" hidden="false" outlineLevel="0" max="8" min="8" style="0" width="13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13</v>
      </c>
      <c r="H2" s="3" t="s">
        <v>14</v>
      </c>
    </row>
    <row r="3" customFormat="false" ht="35.05" hidden="false" customHeight="false" outlineLevel="0" collapsed="false">
      <c r="A3" s="2" t="s">
        <v>15</v>
      </c>
      <c r="B3" s="2" t="s">
        <v>9</v>
      </c>
      <c r="C3" s="2" t="s">
        <v>16</v>
      </c>
      <c r="D3" s="2" t="s">
        <v>11</v>
      </c>
      <c r="E3" s="2" t="s">
        <v>17</v>
      </c>
      <c r="F3" s="2" t="s">
        <v>18</v>
      </c>
      <c r="G3" s="2" t="s">
        <v>19</v>
      </c>
      <c r="H3" s="3" t="s">
        <v>14</v>
      </c>
    </row>
    <row r="4" customFormat="false" ht="35.05" hidden="false" customHeight="false" outlineLevel="0" collapsed="false">
      <c r="A4" s="2" t="s">
        <v>20</v>
      </c>
      <c r="B4" s="2" t="s">
        <v>9</v>
      </c>
      <c r="C4" s="2" t="s">
        <v>21</v>
      </c>
      <c r="D4" s="2" t="s">
        <v>22</v>
      </c>
      <c r="E4" s="2" t="s">
        <v>23</v>
      </c>
      <c r="F4" s="2" t="s">
        <v>18</v>
      </c>
      <c r="G4" s="2" t="s">
        <v>19</v>
      </c>
      <c r="H4" s="3" t="s">
        <v>14</v>
      </c>
    </row>
    <row r="5" customFormat="false" ht="35.05" hidden="false" customHeight="false" outlineLevel="0" collapsed="false">
      <c r="A5" s="2" t="s">
        <v>24</v>
      </c>
      <c r="B5" s="2" t="s">
        <v>9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19</v>
      </c>
      <c r="H5" s="3" t="s">
        <v>14</v>
      </c>
    </row>
    <row r="6" customFormat="false" ht="23.85" hidden="false" customHeight="false" outlineLevel="0" collapsed="false">
      <c r="A6" s="2" t="s">
        <v>29</v>
      </c>
      <c r="B6" s="2" t="s">
        <v>9</v>
      </c>
      <c r="C6" s="2" t="s">
        <v>30</v>
      </c>
      <c r="D6" s="2" t="s">
        <v>31</v>
      </c>
      <c r="E6" s="2" t="s">
        <v>12</v>
      </c>
      <c r="F6" s="2" t="s">
        <v>32</v>
      </c>
      <c r="G6" s="2" t="s">
        <v>33</v>
      </c>
      <c r="H6" s="3" t="s">
        <v>14</v>
      </c>
    </row>
    <row r="7" customFormat="false" ht="23.85" hidden="false" customHeight="false" outlineLevel="0" collapsed="false">
      <c r="A7" s="2" t="s">
        <v>34</v>
      </c>
      <c r="B7" s="2" t="s">
        <v>9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38</v>
      </c>
      <c r="H7" s="3" t="s">
        <v>14</v>
      </c>
    </row>
    <row r="8" customFormat="false" ht="23.85" hidden="false" customHeight="false" outlineLevel="0" collapsed="false">
      <c r="A8" s="2" t="s">
        <v>39</v>
      </c>
      <c r="B8" s="2" t="s">
        <v>9</v>
      </c>
      <c r="C8" s="2" t="s">
        <v>40</v>
      </c>
      <c r="D8" s="2" t="s">
        <v>41</v>
      </c>
      <c r="E8" s="2" t="s">
        <v>42</v>
      </c>
      <c r="F8" s="2" t="s">
        <v>43</v>
      </c>
      <c r="G8" s="2" t="s">
        <v>43</v>
      </c>
      <c r="H8" s="3" t="s">
        <v>14</v>
      </c>
    </row>
    <row r="9" customFormat="false" ht="23.85" hidden="false" customHeight="false" outlineLevel="0" collapsed="false">
      <c r="A9" s="2" t="s">
        <v>44</v>
      </c>
      <c r="B9" s="2" t="s">
        <v>9</v>
      </c>
      <c r="C9" s="2" t="s">
        <v>45</v>
      </c>
      <c r="D9" s="2" t="s">
        <v>46</v>
      </c>
      <c r="E9" s="2" t="s">
        <v>47</v>
      </c>
      <c r="F9" s="2" t="s">
        <v>48</v>
      </c>
      <c r="G9" s="2" t="s">
        <v>48</v>
      </c>
      <c r="H9" s="3" t="s">
        <v>14</v>
      </c>
    </row>
    <row r="10" customFormat="false" ht="15" hidden="false" customHeight="false" outlineLevel="0" collapsed="false">
      <c r="A10" s="2" t="s">
        <v>49</v>
      </c>
      <c r="B10" s="2" t="s">
        <v>9</v>
      </c>
      <c r="C10" s="2" t="s">
        <v>50</v>
      </c>
      <c r="D10" s="2" t="s">
        <v>51</v>
      </c>
      <c r="E10" s="2" t="s">
        <v>52</v>
      </c>
      <c r="F10" s="2" t="s">
        <v>53</v>
      </c>
      <c r="G10" s="2" t="s">
        <v>53</v>
      </c>
      <c r="H10" s="3" t="s">
        <v>14</v>
      </c>
    </row>
    <row r="11" customFormat="false" ht="23.85" hidden="false" customHeight="false" outlineLevel="0" collapsed="false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58</v>
      </c>
      <c r="F11" s="2" t="s">
        <v>59</v>
      </c>
      <c r="G11" s="2" t="s">
        <v>60</v>
      </c>
      <c r="H11" s="3" t="s">
        <v>14</v>
      </c>
    </row>
    <row r="12" customFormat="false" ht="23.85" hidden="false" customHeight="false" outlineLevel="0" collapsed="false">
      <c r="A12" s="2" t="s">
        <v>61</v>
      </c>
      <c r="B12" s="2" t="s">
        <v>55</v>
      </c>
      <c r="C12" s="2" t="s">
        <v>62</v>
      </c>
      <c r="D12" s="2" t="s">
        <v>63</v>
      </c>
      <c r="E12" s="2" t="s">
        <v>58</v>
      </c>
      <c r="F12" s="2" t="s">
        <v>64</v>
      </c>
      <c r="G12" s="2" t="s">
        <v>65</v>
      </c>
      <c r="H12" s="3" t="s">
        <v>14</v>
      </c>
    </row>
    <row r="13" customFormat="false" ht="35.05" hidden="false" customHeight="false" outlineLevel="0" collapsed="false">
      <c r="A13" s="2" t="s">
        <v>66</v>
      </c>
      <c r="B13" s="2" t="s">
        <v>55</v>
      </c>
      <c r="C13" s="2" t="s">
        <v>67</v>
      </c>
      <c r="D13" s="2" t="s">
        <v>68</v>
      </c>
      <c r="E13" s="2" t="s">
        <v>58</v>
      </c>
      <c r="F13" s="2" t="s">
        <v>69</v>
      </c>
      <c r="G13" s="2" t="s">
        <v>70</v>
      </c>
      <c r="H13" s="3" t="s">
        <v>14</v>
      </c>
    </row>
    <row r="14" customFormat="false" ht="35.05" hidden="false" customHeight="false" outlineLevel="0" collapsed="false">
      <c r="A14" s="2" t="s">
        <v>71</v>
      </c>
      <c r="B14" s="2" t="s">
        <v>55</v>
      </c>
      <c r="C14" s="2" t="s">
        <v>72</v>
      </c>
      <c r="D14" s="2" t="s">
        <v>73</v>
      </c>
      <c r="E14" s="2" t="s">
        <v>74</v>
      </c>
      <c r="F14" s="2" t="s">
        <v>75</v>
      </c>
      <c r="G14" s="2" t="s">
        <v>70</v>
      </c>
      <c r="H14" s="3" t="s">
        <v>14</v>
      </c>
    </row>
    <row r="15" customFormat="false" ht="35.05" hidden="false" customHeight="false" outlineLevel="0" collapsed="false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2" t="s">
        <v>81</v>
      </c>
      <c r="G15" s="2" t="s">
        <v>82</v>
      </c>
      <c r="H15" s="3" t="s">
        <v>14</v>
      </c>
    </row>
    <row r="16" customFormat="false" ht="23.85" hidden="false" customHeight="false" outlineLevel="0" collapsed="false">
      <c r="A16" s="2" t="s">
        <v>83</v>
      </c>
      <c r="B16" s="2" t="s">
        <v>77</v>
      </c>
      <c r="C16" s="2" t="s">
        <v>84</v>
      </c>
      <c r="D16" s="2" t="s">
        <v>79</v>
      </c>
      <c r="E16" s="2" t="s">
        <v>85</v>
      </c>
      <c r="F16" s="2" t="s">
        <v>86</v>
      </c>
      <c r="G16" s="2" t="s">
        <v>87</v>
      </c>
      <c r="H16" s="3" t="s">
        <v>14</v>
      </c>
    </row>
    <row r="17" customFormat="false" ht="23.85" hidden="false" customHeight="false" outlineLevel="0" collapsed="false">
      <c r="A17" s="2" t="s">
        <v>88</v>
      </c>
      <c r="B17" s="2" t="s">
        <v>77</v>
      </c>
      <c r="C17" s="2" t="s">
        <v>89</v>
      </c>
      <c r="D17" s="2" t="s">
        <v>79</v>
      </c>
      <c r="E17" s="2" t="s">
        <v>90</v>
      </c>
      <c r="F17" s="2" t="s">
        <v>91</v>
      </c>
      <c r="G17" s="2" t="s">
        <v>92</v>
      </c>
      <c r="H17" s="3" t="s">
        <v>14</v>
      </c>
    </row>
    <row r="18" customFormat="false" ht="46.25" hidden="false" customHeight="false" outlineLevel="0" collapsed="false">
      <c r="A18" s="2" t="s">
        <v>93</v>
      </c>
      <c r="B18" s="2" t="s">
        <v>77</v>
      </c>
      <c r="C18" s="2" t="s">
        <v>94</v>
      </c>
      <c r="D18" s="2" t="s">
        <v>95</v>
      </c>
      <c r="E18" s="2" t="s">
        <v>96</v>
      </c>
      <c r="F18" s="2" t="s">
        <v>97</v>
      </c>
      <c r="G18" s="2" t="s">
        <v>98</v>
      </c>
      <c r="H18" s="3" t="s">
        <v>14</v>
      </c>
    </row>
    <row r="19" customFormat="false" ht="15" hidden="false" customHeight="false" outlineLevel="0" collapsed="false">
      <c r="A19" s="2" t="s">
        <v>99</v>
      </c>
      <c r="B19" s="2" t="s">
        <v>77</v>
      </c>
      <c r="C19" s="2" t="s">
        <v>100</v>
      </c>
      <c r="D19" s="2" t="s">
        <v>101</v>
      </c>
      <c r="E19" s="2" t="s">
        <v>96</v>
      </c>
      <c r="F19" s="2" t="s">
        <v>102</v>
      </c>
      <c r="G19" s="2" t="s">
        <v>103</v>
      </c>
      <c r="H19" s="3" t="s">
        <v>14</v>
      </c>
    </row>
    <row r="20" customFormat="false" ht="46.25" hidden="false" customHeight="false" outlineLevel="0" collapsed="false">
      <c r="A20" s="2" t="s">
        <v>104</v>
      </c>
      <c r="B20" s="2" t="s">
        <v>77</v>
      </c>
      <c r="C20" s="2" t="s">
        <v>105</v>
      </c>
      <c r="D20" s="2" t="s">
        <v>106</v>
      </c>
      <c r="E20" s="2" t="s">
        <v>107</v>
      </c>
      <c r="F20" s="2" t="s">
        <v>108</v>
      </c>
      <c r="G20" s="2" t="s">
        <v>98</v>
      </c>
      <c r="H20" s="3" t="s">
        <v>14</v>
      </c>
    </row>
    <row r="21" customFormat="false" ht="46.25" hidden="false" customHeight="false" outlineLevel="0" collapsed="false">
      <c r="A21" s="2" t="s">
        <v>109</v>
      </c>
      <c r="B21" s="2" t="s">
        <v>77</v>
      </c>
      <c r="C21" s="2" t="s">
        <v>110</v>
      </c>
      <c r="D21" s="2" t="s">
        <v>111</v>
      </c>
      <c r="E21" s="2" t="s">
        <v>112</v>
      </c>
      <c r="F21" s="2" t="s">
        <v>108</v>
      </c>
      <c r="G21" s="2" t="s">
        <v>98</v>
      </c>
      <c r="H21" s="3" t="s">
        <v>14</v>
      </c>
    </row>
    <row r="22" customFormat="false" ht="15" hidden="false" customHeight="false" outlineLevel="0" collapsed="false">
      <c r="A22" s="2" t="s">
        <v>113</v>
      </c>
      <c r="B22" s="2" t="s">
        <v>77</v>
      </c>
      <c r="C22" s="2" t="s">
        <v>114</v>
      </c>
      <c r="D22" s="2" t="s">
        <v>106</v>
      </c>
      <c r="E22" s="2" t="s">
        <v>115</v>
      </c>
      <c r="F22" s="2" t="s">
        <v>102</v>
      </c>
      <c r="G22" s="2" t="s">
        <v>103</v>
      </c>
      <c r="H22" s="3" t="s">
        <v>14</v>
      </c>
    </row>
    <row r="23" customFormat="false" ht="23.85" hidden="false" customHeight="false" outlineLevel="0" collapsed="false">
      <c r="A23" s="2" t="s">
        <v>116</v>
      </c>
      <c r="B23" s="2" t="s">
        <v>77</v>
      </c>
      <c r="C23" s="2" t="s">
        <v>117</v>
      </c>
      <c r="D23" s="2" t="s">
        <v>106</v>
      </c>
      <c r="E23" s="2" t="s">
        <v>118</v>
      </c>
      <c r="F23" s="2" t="s">
        <v>119</v>
      </c>
      <c r="G23" s="2" t="s">
        <v>120</v>
      </c>
      <c r="H23" s="3" t="s">
        <v>14</v>
      </c>
    </row>
    <row r="24" customFormat="false" ht="15" hidden="false" customHeight="false" outlineLevel="0" collapsed="false">
      <c r="A24" s="2" t="s">
        <v>121</v>
      </c>
      <c r="B24" s="2" t="s">
        <v>77</v>
      </c>
      <c r="C24" s="2" t="s">
        <v>122</v>
      </c>
      <c r="D24" s="2" t="s">
        <v>123</v>
      </c>
      <c r="E24" s="2" t="s">
        <v>124</v>
      </c>
      <c r="F24" s="2" t="s">
        <v>125</v>
      </c>
      <c r="G24" s="2" t="s">
        <v>126</v>
      </c>
      <c r="H24" s="3" t="s">
        <v>14</v>
      </c>
    </row>
    <row r="25" customFormat="false" ht="15" hidden="false" customHeight="false" outlineLevel="0" collapsed="false">
      <c r="A25" s="2" t="s">
        <v>127</v>
      </c>
      <c r="B25" s="2" t="s">
        <v>77</v>
      </c>
      <c r="C25" s="2" t="s">
        <v>128</v>
      </c>
      <c r="D25" s="2" t="s">
        <v>106</v>
      </c>
      <c r="E25" s="2" t="s">
        <v>129</v>
      </c>
      <c r="F25" s="2" t="s">
        <v>130</v>
      </c>
      <c r="G25" s="2" t="s">
        <v>131</v>
      </c>
      <c r="H25" s="3" t="s">
        <v>14</v>
      </c>
    </row>
    <row r="26" customFormat="false" ht="15" hidden="false" customHeight="false" outlineLevel="0" collapsed="false">
      <c r="A26" s="2" t="s">
        <v>132</v>
      </c>
      <c r="B26" s="2" t="s">
        <v>77</v>
      </c>
      <c r="C26" s="2" t="s">
        <v>133</v>
      </c>
      <c r="D26" s="2" t="s">
        <v>106</v>
      </c>
      <c r="E26" s="2" t="s">
        <v>134</v>
      </c>
      <c r="F26" s="2" t="s">
        <v>135</v>
      </c>
      <c r="G26" s="2" t="s">
        <v>136</v>
      </c>
      <c r="H26" s="3" t="s">
        <v>14</v>
      </c>
    </row>
    <row r="27" customFormat="false" ht="15" hidden="false" customHeight="false" outlineLevel="0" collapsed="false">
      <c r="A27" s="2" t="s">
        <v>137</v>
      </c>
      <c r="B27" s="2" t="s">
        <v>77</v>
      </c>
      <c r="C27" s="2" t="s">
        <v>138</v>
      </c>
      <c r="D27" s="2" t="s">
        <v>123</v>
      </c>
      <c r="E27" s="2" t="s">
        <v>139</v>
      </c>
      <c r="F27" s="2" t="s">
        <v>125</v>
      </c>
      <c r="G27" s="2" t="s">
        <v>126</v>
      </c>
      <c r="H27" s="3" t="s">
        <v>14</v>
      </c>
    </row>
    <row r="28" customFormat="false" ht="23.85" hidden="false" customHeight="false" outlineLevel="0" collapsed="false">
      <c r="A28" s="2" t="s">
        <v>140</v>
      </c>
      <c r="B28" s="2" t="s">
        <v>141</v>
      </c>
      <c r="C28" s="2" t="s">
        <v>142</v>
      </c>
      <c r="D28" s="2" t="s">
        <v>143</v>
      </c>
      <c r="E28" s="2" t="s">
        <v>144</v>
      </c>
      <c r="F28" s="2" t="s">
        <v>145</v>
      </c>
      <c r="G28" s="2" t="s">
        <v>146</v>
      </c>
      <c r="H28" s="3" t="s">
        <v>14</v>
      </c>
    </row>
    <row r="29" customFormat="false" ht="23.85" hidden="false" customHeight="false" outlineLevel="0" collapsed="false">
      <c r="A29" s="2" t="s">
        <v>147</v>
      </c>
      <c r="B29" s="2" t="s">
        <v>141</v>
      </c>
      <c r="C29" s="2" t="s">
        <v>148</v>
      </c>
      <c r="D29" s="2" t="s">
        <v>143</v>
      </c>
      <c r="E29" s="2" t="s">
        <v>149</v>
      </c>
      <c r="F29" s="2" t="s">
        <v>150</v>
      </c>
      <c r="G29" s="2" t="s">
        <v>151</v>
      </c>
      <c r="H29" s="3" t="s">
        <v>14</v>
      </c>
    </row>
    <row r="30" customFormat="false" ht="23.85" hidden="false" customHeight="false" outlineLevel="0" collapsed="false">
      <c r="A30" s="2" t="s">
        <v>152</v>
      </c>
      <c r="B30" s="2" t="s">
        <v>141</v>
      </c>
      <c r="C30" s="2" t="s">
        <v>153</v>
      </c>
      <c r="D30" s="2" t="s">
        <v>154</v>
      </c>
      <c r="E30" s="2" t="s">
        <v>155</v>
      </c>
      <c r="F30" s="2" t="s">
        <v>156</v>
      </c>
      <c r="G30" s="2" t="s">
        <v>157</v>
      </c>
      <c r="H30" s="3" t="s">
        <v>14</v>
      </c>
    </row>
    <row r="31" customFormat="false" ht="23.85" hidden="false" customHeight="false" outlineLevel="0" collapsed="false">
      <c r="A31" s="2" t="s">
        <v>158</v>
      </c>
      <c r="B31" s="2" t="s">
        <v>141</v>
      </c>
      <c r="C31" s="2" t="s">
        <v>159</v>
      </c>
      <c r="D31" s="2" t="s">
        <v>160</v>
      </c>
      <c r="E31" s="2" t="s">
        <v>161</v>
      </c>
      <c r="F31" s="2" t="s">
        <v>162</v>
      </c>
      <c r="G31" s="2" t="s">
        <v>163</v>
      </c>
      <c r="H31" s="3" t="s">
        <v>14</v>
      </c>
    </row>
    <row r="32" customFormat="false" ht="15" hidden="false" customHeight="false" outlineLevel="0" collapsed="false">
      <c r="A32" s="2" t="s">
        <v>164</v>
      </c>
      <c r="B32" s="2" t="s">
        <v>141</v>
      </c>
      <c r="C32" s="2" t="s">
        <v>165</v>
      </c>
      <c r="D32" s="2" t="s">
        <v>166</v>
      </c>
      <c r="E32" s="2" t="s">
        <v>167</v>
      </c>
      <c r="F32" s="2" t="s">
        <v>168</v>
      </c>
      <c r="G32" s="2" t="s">
        <v>169</v>
      </c>
      <c r="H32" s="3" t="s">
        <v>14</v>
      </c>
    </row>
    <row r="33" customFormat="false" ht="23.85" hidden="false" customHeight="false" outlineLevel="0" collapsed="false">
      <c r="A33" s="2" t="s">
        <v>170</v>
      </c>
      <c r="B33" s="2" t="s">
        <v>141</v>
      </c>
      <c r="C33" s="2" t="s">
        <v>171</v>
      </c>
      <c r="D33" s="2" t="s">
        <v>172</v>
      </c>
      <c r="E33" s="2" t="s">
        <v>155</v>
      </c>
      <c r="F33" s="2" t="s">
        <v>173</v>
      </c>
      <c r="G33" s="2" t="s">
        <v>174</v>
      </c>
      <c r="H33" s="3" t="s">
        <v>14</v>
      </c>
    </row>
    <row r="34" customFormat="false" ht="35.05" hidden="false" customHeight="false" outlineLevel="0" collapsed="false">
      <c r="A34" s="2" t="s">
        <v>175</v>
      </c>
      <c r="B34" s="2" t="s">
        <v>141</v>
      </c>
      <c r="C34" s="2" t="s">
        <v>176</v>
      </c>
      <c r="D34" s="2" t="s">
        <v>177</v>
      </c>
      <c r="E34" s="2" t="s">
        <v>178</v>
      </c>
      <c r="F34" s="2" t="s">
        <v>179</v>
      </c>
      <c r="G34" s="2" t="s">
        <v>180</v>
      </c>
      <c r="H34" s="3" t="s">
        <v>14</v>
      </c>
    </row>
    <row r="35" customFormat="false" ht="15" hidden="false" customHeight="false" outlineLevel="0" collapsed="false">
      <c r="A35" s="2" t="s">
        <v>181</v>
      </c>
      <c r="B35" s="2" t="s">
        <v>141</v>
      </c>
      <c r="C35" s="2" t="s">
        <v>182</v>
      </c>
      <c r="D35" s="2" t="s">
        <v>183</v>
      </c>
      <c r="E35" s="2" t="s">
        <v>184</v>
      </c>
      <c r="F35" s="2" t="s">
        <v>185</v>
      </c>
      <c r="G35" s="2" t="s">
        <v>186</v>
      </c>
      <c r="H35" s="3" t="s">
        <v>14</v>
      </c>
    </row>
    <row r="36" customFormat="false" ht="15" hidden="false" customHeight="false" outlineLevel="0" collapsed="false">
      <c r="A36" s="2" t="s">
        <v>187</v>
      </c>
      <c r="B36" s="2" t="s">
        <v>141</v>
      </c>
      <c r="C36" s="2" t="s">
        <v>188</v>
      </c>
      <c r="D36" s="2" t="s">
        <v>189</v>
      </c>
      <c r="E36" s="2" t="s">
        <v>184</v>
      </c>
      <c r="F36" s="2" t="s">
        <v>190</v>
      </c>
      <c r="G36" s="2" t="s">
        <v>191</v>
      </c>
      <c r="H36" s="3" t="s">
        <v>14</v>
      </c>
    </row>
    <row r="37" customFormat="false" ht="15" hidden="false" customHeight="false" outlineLevel="0" collapsed="false">
      <c r="A37" s="2" t="s">
        <v>192</v>
      </c>
      <c r="B37" s="2" t="s">
        <v>141</v>
      </c>
      <c r="C37" s="2" t="s">
        <v>193</v>
      </c>
      <c r="D37" s="2" t="s">
        <v>183</v>
      </c>
      <c r="E37" s="2" t="s">
        <v>194</v>
      </c>
      <c r="F37" s="2" t="s">
        <v>195</v>
      </c>
      <c r="G37" s="2" t="s">
        <v>196</v>
      </c>
      <c r="H37" s="3" t="s">
        <v>14</v>
      </c>
    </row>
    <row r="38" customFormat="false" ht="23.85" hidden="false" customHeight="false" outlineLevel="0" collapsed="false">
      <c r="A38" s="2" t="s">
        <v>197</v>
      </c>
      <c r="B38" s="2" t="s">
        <v>141</v>
      </c>
      <c r="C38" s="2" t="s">
        <v>198</v>
      </c>
      <c r="D38" s="2" t="s">
        <v>199</v>
      </c>
      <c r="E38" s="2" t="s">
        <v>200</v>
      </c>
      <c r="F38" s="2" t="s">
        <v>173</v>
      </c>
      <c r="G38" s="2" t="s">
        <v>174</v>
      </c>
      <c r="H38" s="3" t="s">
        <v>14</v>
      </c>
    </row>
    <row r="39" customFormat="false" ht="23.85" hidden="false" customHeight="false" outlineLevel="0" collapsed="false">
      <c r="A39" s="2" t="s">
        <v>201</v>
      </c>
      <c r="B39" s="2" t="s">
        <v>141</v>
      </c>
      <c r="C39" s="2" t="s">
        <v>202</v>
      </c>
      <c r="D39" s="2" t="s">
        <v>189</v>
      </c>
      <c r="E39" s="2" t="s">
        <v>203</v>
      </c>
      <c r="F39" s="2" t="s">
        <v>204</v>
      </c>
      <c r="G39" s="2" t="s">
        <v>205</v>
      </c>
      <c r="H39" s="3" t="s">
        <v>14</v>
      </c>
    </row>
    <row r="40" customFormat="false" ht="23.85" hidden="false" customHeight="false" outlineLevel="0" collapsed="false">
      <c r="A40" s="2" t="s">
        <v>206</v>
      </c>
      <c r="B40" s="2" t="s">
        <v>207</v>
      </c>
      <c r="C40" s="2" t="s">
        <v>208</v>
      </c>
      <c r="D40" s="2" t="s">
        <v>209</v>
      </c>
      <c r="E40" s="2" t="s">
        <v>210</v>
      </c>
      <c r="F40" s="2" t="s">
        <v>211</v>
      </c>
      <c r="G40" s="2" t="s">
        <v>212</v>
      </c>
      <c r="H40" s="3" t="s">
        <v>14</v>
      </c>
    </row>
    <row r="41" customFormat="false" ht="15" hidden="false" customHeight="false" outlineLevel="0" collapsed="false">
      <c r="A41" s="2" t="s">
        <v>213</v>
      </c>
      <c r="B41" s="2" t="s">
        <v>207</v>
      </c>
      <c r="C41" s="2" t="s">
        <v>214</v>
      </c>
      <c r="D41" s="2" t="s">
        <v>209</v>
      </c>
      <c r="E41" s="2" t="s">
        <v>215</v>
      </c>
      <c r="F41" s="2" t="s">
        <v>216</v>
      </c>
      <c r="G41" s="2" t="s">
        <v>217</v>
      </c>
      <c r="H41" s="3" t="s">
        <v>14</v>
      </c>
    </row>
    <row r="42" customFormat="false" ht="23.85" hidden="false" customHeight="false" outlineLevel="0" collapsed="false">
      <c r="A42" s="2" t="s">
        <v>218</v>
      </c>
      <c r="B42" s="2" t="s">
        <v>207</v>
      </c>
      <c r="C42" s="2" t="s">
        <v>219</v>
      </c>
      <c r="D42" s="2" t="s">
        <v>123</v>
      </c>
      <c r="E42" s="2" t="s">
        <v>220</v>
      </c>
      <c r="F42" s="2" t="s">
        <v>162</v>
      </c>
      <c r="G42" s="2" t="s">
        <v>163</v>
      </c>
      <c r="H42" s="3" t="s">
        <v>14</v>
      </c>
    </row>
    <row r="43" customFormat="false" ht="23.85" hidden="false" customHeight="false" outlineLevel="0" collapsed="false">
      <c r="A43" s="2" t="s">
        <v>221</v>
      </c>
      <c r="B43" s="2" t="s">
        <v>207</v>
      </c>
      <c r="C43" s="2" t="s">
        <v>222</v>
      </c>
      <c r="D43" s="2" t="s">
        <v>209</v>
      </c>
      <c r="E43" s="2" t="s">
        <v>223</v>
      </c>
      <c r="F43" s="2" t="s">
        <v>224</v>
      </c>
      <c r="G43" s="2" t="s">
        <v>225</v>
      </c>
      <c r="H43" s="3" t="s">
        <v>14</v>
      </c>
    </row>
    <row r="44" customFormat="false" ht="35.05" hidden="false" customHeight="false" outlineLevel="0" collapsed="false">
      <c r="A44" s="2" t="s">
        <v>226</v>
      </c>
      <c r="B44" s="2" t="s">
        <v>207</v>
      </c>
      <c r="C44" s="2" t="s">
        <v>227</v>
      </c>
      <c r="D44" s="2" t="s">
        <v>228</v>
      </c>
      <c r="E44" s="2" t="s">
        <v>96</v>
      </c>
      <c r="F44" s="2" t="s">
        <v>229</v>
      </c>
      <c r="G44" s="2" t="s">
        <v>230</v>
      </c>
      <c r="H44" s="3" t="s">
        <v>14</v>
      </c>
    </row>
    <row r="45" customFormat="false" ht="35.05" hidden="false" customHeight="false" outlineLevel="0" collapsed="false">
      <c r="A45" s="2" t="s">
        <v>231</v>
      </c>
      <c r="B45" s="2" t="s">
        <v>207</v>
      </c>
      <c r="C45" s="2" t="s">
        <v>232</v>
      </c>
      <c r="D45" s="2" t="s">
        <v>233</v>
      </c>
      <c r="E45" s="2" t="s">
        <v>234</v>
      </c>
      <c r="F45" s="2" t="s">
        <v>235</v>
      </c>
      <c r="G45" s="2" t="s">
        <v>230</v>
      </c>
      <c r="H45" s="3" t="s">
        <v>14</v>
      </c>
    </row>
    <row r="46" customFormat="false" ht="15" hidden="false" customHeight="false" outlineLevel="0" collapsed="false">
      <c r="A46" s="2" t="s">
        <v>236</v>
      </c>
      <c r="B46" s="2" t="s">
        <v>207</v>
      </c>
      <c r="C46" s="2" t="s">
        <v>237</v>
      </c>
      <c r="D46" s="2" t="s">
        <v>238</v>
      </c>
      <c r="E46" s="2" t="s">
        <v>239</v>
      </c>
      <c r="F46" s="2" t="s">
        <v>240</v>
      </c>
      <c r="G46" s="2" t="s">
        <v>241</v>
      </c>
      <c r="H46" s="3" t="s">
        <v>14</v>
      </c>
    </row>
    <row r="47" customFormat="false" ht="15" hidden="false" customHeight="false" outlineLevel="0" collapsed="false">
      <c r="A47" s="2" t="s">
        <v>242</v>
      </c>
      <c r="B47" s="2" t="s">
        <v>207</v>
      </c>
      <c r="C47" s="2" t="s">
        <v>243</v>
      </c>
      <c r="D47" s="2" t="s">
        <v>244</v>
      </c>
      <c r="E47" s="2" t="s">
        <v>245</v>
      </c>
      <c r="F47" s="2" t="s">
        <v>246</v>
      </c>
      <c r="G47" s="2" t="s">
        <v>247</v>
      </c>
      <c r="H47" s="3" t="s">
        <v>14</v>
      </c>
    </row>
    <row r="48" customFormat="false" ht="15" hidden="false" customHeight="false" outlineLevel="0" collapsed="false">
      <c r="A48" s="2" t="s">
        <v>248</v>
      </c>
      <c r="B48" s="2" t="s">
        <v>207</v>
      </c>
      <c r="C48" s="2" t="s">
        <v>249</v>
      </c>
      <c r="D48" s="2" t="s">
        <v>250</v>
      </c>
      <c r="E48" s="2" t="s">
        <v>178</v>
      </c>
      <c r="F48" s="2" t="s">
        <v>251</v>
      </c>
      <c r="G48" s="2" t="s">
        <v>252</v>
      </c>
      <c r="H48" s="3" t="s">
        <v>14</v>
      </c>
    </row>
    <row r="49" customFormat="false" ht="15" hidden="false" customHeight="false" outlineLevel="0" collapsed="false">
      <c r="A49" s="2" t="s">
        <v>253</v>
      </c>
      <c r="B49" s="2" t="s">
        <v>254</v>
      </c>
      <c r="C49" s="2" t="s">
        <v>255</v>
      </c>
      <c r="D49" s="2" t="s">
        <v>79</v>
      </c>
      <c r="E49" s="2" t="s">
        <v>256</v>
      </c>
      <c r="F49" s="2" t="s">
        <v>257</v>
      </c>
      <c r="G49" s="2" t="s">
        <v>258</v>
      </c>
      <c r="H49" s="3" t="s">
        <v>14</v>
      </c>
    </row>
  </sheetData>
  <autoFilter ref="A1:H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4"/>
  </cols>
  <sheetData>
    <row r="1" customFormat="false" ht="16.15" hidden="false" customHeight="false" outlineLevel="0" collapsed="false">
      <c r="A1" s="4" t="s">
        <v>259</v>
      </c>
    </row>
    <row r="3" customFormat="false" ht="15" hidden="false" customHeight="false" outlineLevel="0" collapsed="false">
      <c r="A3" s="5" t="s">
        <v>260</v>
      </c>
      <c r="B3" s="6" t="n">
        <f aca="false">COUNTA('Black Box Test Cases'!A2:A49)</f>
        <v>48</v>
      </c>
    </row>
    <row r="4" customFormat="false" ht="15" hidden="false" customHeight="false" outlineLevel="0" collapsed="false">
      <c r="A4" s="5" t="s">
        <v>261</v>
      </c>
      <c r="B4" s="6" t="n">
        <f aca="false">COUNTIF('Black Box Test Cases'!H2:H49,"Pass")</f>
        <v>48</v>
      </c>
    </row>
    <row r="5" customFormat="false" ht="15" hidden="false" customHeight="false" outlineLevel="0" collapsed="false">
      <c r="A5" s="5" t="s">
        <v>262</v>
      </c>
      <c r="B5" s="6" t="n">
        <f aca="false">COUNTIF('Black Box Test Cases'!H2:H49,"Fail")</f>
        <v>0</v>
      </c>
    </row>
    <row r="6" customFormat="false" ht="15" hidden="false" customHeight="false" outlineLevel="0" collapsed="false">
      <c r="A6" s="5" t="s">
        <v>263</v>
      </c>
      <c r="B6" s="7" t="n">
        <f aca="false">IF(B3=0,0,B4/B3)</f>
        <v>1</v>
      </c>
    </row>
    <row r="8" customFormat="false" ht="15" hidden="false" customHeight="false" outlineLevel="0" collapsed="false">
      <c r="A8" s="8" t="s">
        <v>1</v>
      </c>
      <c r="B8" s="8" t="s">
        <v>264</v>
      </c>
      <c r="C8" s="8" t="s">
        <v>261</v>
      </c>
      <c r="D8" s="8" t="s">
        <v>262</v>
      </c>
    </row>
    <row r="9" customFormat="false" ht="15" hidden="false" customHeight="false" outlineLevel="0" collapsed="false">
      <c r="A9" s="6" t="s">
        <v>9</v>
      </c>
      <c r="B9" s="6" t="n">
        <f aca="false">COUNTIF('Black Box Test Cases'!B2:B49,A9)</f>
        <v>9</v>
      </c>
      <c r="C9" s="6" t="n">
        <f aca="false">COUNTIFS('Black Box Test Cases'!B2:B49,A9,'Black Box Test Cases'!H2:H49,"Pass")</f>
        <v>9</v>
      </c>
      <c r="D9" s="6" t="n">
        <f aca="false">COUNTIFS('Black Box Test Cases'!B2:B49,A9,'Black Box Test Cases'!H2:H49,"Fail")</f>
        <v>0</v>
      </c>
    </row>
    <row r="10" customFormat="false" ht="15" hidden="false" customHeight="false" outlineLevel="0" collapsed="false">
      <c r="A10" s="6" t="s">
        <v>55</v>
      </c>
      <c r="B10" s="6" t="n">
        <f aca="false">COUNTIF('Black Box Test Cases'!B2:B49,A10)</f>
        <v>4</v>
      </c>
      <c r="C10" s="6" t="n">
        <f aca="false">COUNTIFS('Black Box Test Cases'!B2:B49,A10,'Black Box Test Cases'!H2:H49,"Pass")</f>
        <v>4</v>
      </c>
      <c r="D10" s="6" t="n">
        <f aca="false">COUNTIFS('Black Box Test Cases'!B2:B49,A10,'Black Box Test Cases'!H2:H49,"Fail")</f>
        <v>0</v>
      </c>
    </row>
    <row r="11" customFormat="false" ht="15" hidden="false" customHeight="false" outlineLevel="0" collapsed="false">
      <c r="A11" s="6" t="s">
        <v>77</v>
      </c>
      <c r="B11" s="6" t="n">
        <f aca="false">COUNTIF('Black Box Test Cases'!B2:B49,A11)</f>
        <v>13</v>
      </c>
      <c r="C11" s="6" t="n">
        <f aca="false">COUNTIFS('Black Box Test Cases'!B2:B49,A11,'Black Box Test Cases'!H2:H49,"Pass")</f>
        <v>13</v>
      </c>
      <c r="D11" s="6" t="n">
        <f aca="false">COUNTIFS('Black Box Test Cases'!B2:B49,A11,'Black Box Test Cases'!H2:H49,"Fail")</f>
        <v>0</v>
      </c>
    </row>
    <row r="12" customFormat="false" ht="15" hidden="false" customHeight="false" outlineLevel="0" collapsed="false">
      <c r="A12" s="6" t="s">
        <v>141</v>
      </c>
      <c r="B12" s="6" t="n">
        <f aca="false">COUNTIF('Black Box Test Cases'!B2:B49,A12)</f>
        <v>12</v>
      </c>
      <c r="C12" s="6" t="n">
        <f aca="false">COUNTIFS('Black Box Test Cases'!B2:B49,A12,'Black Box Test Cases'!H2:H49,"Pass")</f>
        <v>12</v>
      </c>
      <c r="D12" s="6" t="n">
        <f aca="false">COUNTIFS('Black Box Test Cases'!B2:B49,A12,'Black Box Test Cases'!H2:H49,"Fail")</f>
        <v>0</v>
      </c>
    </row>
    <row r="13" customFormat="false" ht="15" hidden="false" customHeight="false" outlineLevel="0" collapsed="false">
      <c r="A13" s="6" t="s">
        <v>207</v>
      </c>
      <c r="B13" s="6" t="n">
        <f aca="false">COUNTIF('Black Box Test Cases'!B2:B49,A13)</f>
        <v>9</v>
      </c>
      <c r="C13" s="6" t="n">
        <f aca="false">COUNTIFS('Black Box Test Cases'!B2:B49,A13,'Black Box Test Cases'!H2:H49,"Pass")</f>
        <v>9</v>
      </c>
      <c r="D13" s="6" t="n">
        <f aca="false">COUNTIFS('Black Box Test Cases'!B2:B49,A13,'Black Box Test Cases'!H2:H49,"Fail")</f>
        <v>0</v>
      </c>
    </row>
    <row r="14" customFormat="false" ht="15" hidden="false" customHeight="false" outlineLevel="0" collapsed="false">
      <c r="A14" s="6" t="s">
        <v>254</v>
      </c>
      <c r="B14" s="6" t="n">
        <f aca="false">COUNTIF('Black Box Test Cases'!B2:B49,A14)</f>
        <v>1</v>
      </c>
      <c r="C14" s="6" t="n">
        <f aca="false">COUNTIFS('Black Box Test Cases'!B2:B49,A14,'Black Box Test Cases'!H2:H49,"Pass")</f>
        <v>1</v>
      </c>
      <c r="D14" s="6" t="n">
        <f aca="false">COUNTIFS('Black Box Test Cases'!B2:B49,A14,'Black Box Test Cases'!H2:H49,"Fail")</f>
        <v>0</v>
      </c>
    </row>
    <row r="16" customFormat="false" ht="15" hidden="false" customHeight="false" outlineLevel="0" collapsed="false">
      <c r="A16" s="5" t="s">
        <v>265</v>
      </c>
    </row>
    <row r="17" customFormat="false" ht="15" hidden="false" customHeight="false" outlineLevel="0" collapsed="false">
      <c r="A17" s="6" t="s">
        <v>266</v>
      </c>
    </row>
    <row r="18" customFormat="false" ht="15" hidden="false" customHeight="false" outlineLevel="0" collapsed="false">
      <c r="A18" s="6" t="s">
        <v>267</v>
      </c>
    </row>
    <row r="19" customFormat="false" ht="15" hidden="false" customHeight="false" outlineLevel="0" collapsed="false">
      <c r="A19" s="6" t="s">
        <v>268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2026-10-25T18:00:38Z</dcterms:created>
  <dc:creator>openpyxl</dc:creator>
  <dc:description/>
  <dc:language>en-US</dc:language>
  <cp:lastModifiedBy/>
  <dcterms:modified xsi:type="dcterms:W3CDTF">2026-10-25T18:00:38Z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